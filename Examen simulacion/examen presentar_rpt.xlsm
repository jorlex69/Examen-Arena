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OD\Desktop\examen arena\Examen simulacion\"/>
    </mc:Choice>
  </mc:AlternateContent>
  <xr:revisionPtr revIDLastSave="0" documentId="13_ncr:1_{A8770FAD-2A82-47F0-AB0F-974D45CB6370}" xr6:coauthVersionLast="47" xr6:coauthVersionMax="47" xr10:uidLastSave="{00000000-0000-0000-0000-000000000000}"/>
  <bookViews>
    <workbookView xWindow="-108" yWindow="-108" windowWidth="23256" windowHeight="127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ContinuousTimeStatsByRep!$A$1:$L$14</definedName>
    <definedName name="ExternalData_1" localSheetId="4" hidden="1">CounterStatsByRep!$A$1:$G$2</definedName>
    <definedName name="ExternalData_1" localSheetId="2" hidden="1">DiscreteTimeStatsByRep!$A$1:$K$10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K4" i="20" s="1" a="1"/>
  <c r="K4" i="20" s="1"/>
  <c r="I6" i="20"/>
  <c r="I7" i="20"/>
  <c r="I8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K3" i="20" a="1"/>
  <c r="K3" i="20" s="1"/>
  <c r="K7" i="20" a="1"/>
  <c r="K7" i="20" s="1"/>
  <c r="L4" i="20" a="1"/>
  <c r="L4" i="20" s="1"/>
  <c r="L8" i="20" a="1"/>
  <c r="L8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O2" i="20" a="1"/>
  <c r="O2" i="20" s="1"/>
  <c r="O4" i="20" a="1"/>
  <c r="O4" i="20" s="1"/>
  <c r="O6" i="20" a="1"/>
  <c r="O6" i="20" s="1"/>
  <c r="O8" i="20" a="1"/>
  <c r="O8" i="20" s="1"/>
  <c r="P3" i="20" a="1"/>
  <c r="P3" i="20" s="1"/>
  <c r="P5" i="20" a="1"/>
  <c r="P5" i="20" s="1"/>
  <c r="P7" i="20" a="1"/>
  <c r="P7" i="20" s="1"/>
  <c r="P8" i="20" a="1"/>
  <c r="P8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S2" i="18" a="1"/>
  <c r="S2" i="18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L2" i="17"/>
  <c r="L3" i="17"/>
  <c r="L4" i="17"/>
  <c r="L5" i="17"/>
  <c r="L6" i="17"/>
  <c r="L7" i="17"/>
  <c r="L8" i="17"/>
  <c r="L9" i="17"/>
  <c r="U9" i="17" s="1" a="1"/>
  <c r="U9" i="17" s="1"/>
  <c r="L10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N7" i="17" a="1"/>
  <c r="N7" i="17" s="1"/>
  <c r="O10" i="17" a="1"/>
  <c r="O10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R3" i="17" a="1"/>
  <c r="R3" i="17" s="1"/>
  <c r="R5" i="17" a="1"/>
  <c r="R5" i="17" s="1"/>
  <c r="R7" i="17" a="1"/>
  <c r="R7" i="17" s="1"/>
  <c r="R9" i="17" a="1"/>
  <c r="R9" i="17" s="1"/>
  <c r="S2" i="17" a="1"/>
  <c r="S2" i="17" s="1"/>
  <c r="S4" i="17" a="1"/>
  <c r="S4" i="17" s="1"/>
  <c r="S5" i="17" a="1"/>
  <c r="S5" i="17" s="1"/>
  <c r="S6" i="17" a="1"/>
  <c r="S6" i="17" s="1"/>
  <c r="S7" i="17" a="1"/>
  <c r="S7" i="17" s="1"/>
  <c r="S8" i="17" a="1"/>
  <c r="S8" i="17" s="1"/>
  <c r="S9" i="17" a="1"/>
  <c r="S9" i="17" s="1"/>
  <c r="S10" i="17" a="1"/>
  <c r="S10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8" i="17" a="1"/>
  <c r="T8" i="17" s="1"/>
  <c r="T9" i="17" a="1"/>
  <c r="T9" i="17" s="1"/>
  <c r="T10" i="17" a="1"/>
  <c r="T10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0" i="17" a="1"/>
  <c r="U10" i="17" s="1"/>
  <c r="V3" i="17" a="1"/>
  <c r="V3" i="17" s="1"/>
  <c r="V5" i="17" a="1"/>
  <c r="V5" i="17" s="1"/>
  <c r="V7" i="17" a="1"/>
  <c r="V7" i="17" s="1"/>
  <c r="V9" i="17" a="1"/>
  <c r="V9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8" i="17" a="1"/>
  <c r="X8" i="17" s="1"/>
  <c r="X9" i="17" a="1"/>
  <c r="X9" i="17" s="1"/>
  <c r="X10" i="17" a="1"/>
  <c r="X10" i="17" s="1"/>
  <c r="G2" i="16"/>
  <c r="L7" i="20" l="1" a="1"/>
  <c r="L7" i="20" s="1"/>
  <c r="L3" i="20" a="1"/>
  <c r="L3" i="20" s="1"/>
  <c r="K6" i="20" a="1"/>
  <c r="K6" i="20" s="1"/>
  <c r="K2" i="20" a="1"/>
  <c r="K2" i="20" s="1"/>
  <c r="P4" i="20" a="1"/>
  <c r="P4" i="20" s="1"/>
  <c r="O7" i="20" a="1"/>
  <c r="O7" i="20" s="1"/>
  <c r="O3" i="20" a="1"/>
  <c r="O3" i="20" s="1"/>
  <c r="L6" i="20" a="1"/>
  <c r="L6" i="20" s="1"/>
  <c r="L2" i="20" a="1"/>
  <c r="L2" i="20" s="1"/>
  <c r="K5" i="20" a="1"/>
  <c r="K5" i="20" s="1"/>
  <c r="P6" i="20" a="1"/>
  <c r="P6" i="20" s="1"/>
  <c r="P2" i="20" a="1"/>
  <c r="P2" i="20" s="1"/>
  <c r="O5" i="20" a="1"/>
  <c r="O5" i="20" s="1"/>
  <c r="L5" i="20" a="1"/>
  <c r="L5" i="20" s="1"/>
  <c r="K8" i="20" a="1"/>
  <c r="K8" i="20" s="1"/>
  <c r="N6" i="20"/>
  <c r="N2" i="20"/>
  <c r="N5" i="20"/>
  <c r="N8" i="20"/>
  <c r="N4" i="20"/>
  <c r="N7" i="20"/>
  <c r="N3" i="20"/>
  <c r="U12" i="18"/>
  <c r="R12" i="18"/>
  <c r="U8" i="18"/>
  <c r="R8" i="18"/>
  <c r="U4" i="18"/>
  <c r="R4" i="18"/>
  <c r="R11" i="18"/>
  <c r="U11" i="18"/>
  <c r="R7" i="18"/>
  <c r="U7" i="18"/>
  <c r="R3" i="18"/>
  <c r="U3" i="18"/>
  <c r="R14" i="18"/>
  <c r="U14" i="18"/>
  <c r="R10" i="18"/>
  <c r="U10" i="18"/>
  <c r="R6" i="18"/>
  <c r="U6" i="18"/>
  <c r="R2" i="18"/>
  <c r="U2" i="18"/>
  <c r="R13" i="18"/>
  <c r="U13" i="18"/>
  <c r="R9" i="18"/>
  <c r="U9" i="18"/>
  <c r="R5" i="18"/>
  <c r="U5" i="18"/>
  <c r="N4" i="17" a="1"/>
  <c r="N4" i="17" s="1"/>
  <c r="N3" i="17" a="1"/>
  <c r="N3" i="17" s="1"/>
  <c r="O6" i="17" a="1"/>
  <c r="O6" i="17" s="1"/>
  <c r="O2" i="17" a="1"/>
  <c r="O2" i="17" s="1"/>
  <c r="V10" i="17" a="1"/>
  <c r="V10" i="17" s="1"/>
  <c r="V6" i="17" a="1"/>
  <c r="V6" i="17" s="1"/>
  <c r="V2" i="17" a="1"/>
  <c r="V2" i="17" s="1"/>
  <c r="U8" i="17" a="1"/>
  <c r="U8" i="17" s="1"/>
  <c r="O9" i="17" a="1"/>
  <c r="O9" i="17" s="1"/>
  <c r="O5" i="17" a="1"/>
  <c r="O5" i="17" s="1"/>
  <c r="N10" i="17" a="1"/>
  <c r="N10" i="17" s="1"/>
  <c r="N6" i="17" a="1"/>
  <c r="N6" i="17" s="1"/>
  <c r="N2" i="17" a="1"/>
  <c r="N2" i="17" s="1"/>
  <c r="R10" i="17" a="1"/>
  <c r="R10" i="17" s="1"/>
  <c r="R8" i="17" a="1"/>
  <c r="R8" i="17" s="1"/>
  <c r="R6" i="17" a="1"/>
  <c r="R6" i="17" s="1"/>
  <c r="R4" i="17" a="1"/>
  <c r="R4" i="17" s="1"/>
  <c r="R2" i="17" a="1"/>
  <c r="R2" i="17" s="1"/>
  <c r="O8" i="17" a="1"/>
  <c r="O8" i="17" s="1"/>
  <c r="O4" i="17" a="1"/>
  <c r="O4" i="17" s="1"/>
  <c r="N9" i="17" a="1"/>
  <c r="N9" i="17" s="1"/>
  <c r="N5" i="17" a="1"/>
  <c r="N5" i="17" s="1"/>
  <c r="S3" i="17" a="1"/>
  <c r="S3" i="17" s="1"/>
  <c r="V8" i="17" a="1"/>
  <c r="V8" i="17" s="1"/>
  <c r="V4" i="17" a="1"/>
  <c r="V4" i="17" s="1"/>
  <c r="O7" i="17" a="1"/>
  <c r="O7" i="17" s="1"/>
  <c r="O3" i="17" a="1"/>
  <c r="O3" i="17" s="1"/>
  <c r="N8" i="17" a="1"/>
  <c r="N8" i="17" s="1"/>
  <c r="Y8" i="17"/>
  <c r="Q8" i="17" s="1"/>
  <c r="W8" i="17"/>
  <c r="Y4" i="17"/>
  <c r="Q4" i="17" s="1"/>
  <c r="W4" i="17"/>
  <c r="Y7" i="17"/>
  <c r="Q7" i="17" s="1"/>
  <c r="W7" i="17"/>
  <c r="W3" i="17"/>
  <c r="Y3" i="17"/>
  <c r="Q3" i="17" s="1"/>
  <c r="Y10" i="17"/>
  <c r="Q10" i="17" s="1"/>
  <c r="W10" i="17"/>
  <c r="Y6" i="17"/>
  <c r="Q6" i="17" s="1"/>
  <c r="W6" i="17"/>
  <c r="Y2" i="17"/>
  <c r="Q2" i="17" s="1"/>
  <c r="W2" i="17"/>
  <c r="W9" i="17"/>
  <c r="Y9" i="17"/>
  <c r="Q9" i="17" s="1"/>
  <c r="W5" i="17"/>
  <c r="Y5" i="17"/>
  <c r="Q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od\desktop\examen arena\examen simulacion\examen presentar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od\desktop\examen arena\examen simulacion\examen presentar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od\desktop\examen arena\examen simulacion\examen presentar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od\desktop\examen arena\examen simulacion\examen presentar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od\desktop\examen arena\examen simulacion\examen presentar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od\desktop\examen arena\examen simulacion\examen presentar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<sst xmlns="http://schemas.openxmlformats.org/spreadsheetml/2006/main" count="391" uniqueCount="107">
  <si>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</si>
  <si>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</si>
  <si>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</si>
  <si>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</si>
  <si>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</si>
  <si>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</si>
  <si>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</si>
  <si>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</si>
  <si>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</si>
  <si>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</si>
  <si>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</si>
  <si>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</si>
  <si>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</si>
  <si>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</si>
  <si>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</si>
  <si>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</si>
  <si>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</si>
  <si>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</si>
  <si>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</si>
  <si>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</si>
  <si>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</si>
  <si>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</si>
  <si>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</si>
  <si>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</si>
  <si>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</si>
  <si>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</si>
  <si>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</si>
  <si>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</si>
  <si>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</si>
  <si>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</si>
  <si>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</si>
  <si>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</si>
  <si>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</si>
  <si>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</si>
  <si>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</si>
  <si>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</si>
  <si>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</si>
  <si>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</si>
  <si>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</si>
  <si>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</si>
  <si>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</si>
  <si>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</si>
  <si>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</si>
  <si>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</si>
  <si>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</si>
  <si>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</si>
  <si>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</si>
  <si>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</si>
  <si>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</si>
  <si>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</si>
  <si>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</si>
  <si>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</si>
  <si>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</si>
  <si>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</si>
  <si>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</si>
  <si>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</si>
  <si>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</si>
  <si>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</si>
  <si>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</si>
  <si>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</si>
  <si>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</si>
  <si>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</si>
  <si>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</si>
  <si>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</si>
  <si>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</si>
  <si>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</si>
  <si>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</si>
  <si>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</si>
  <si>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C:\Users\GOD\Desktop\examen arena\Nueva carpeta\examen presentar.p</t>
  </si>
  <si>
    <t>2024-04-09 12:52:53</t>
  </si>
  <si>
    <t>Caja de Deposito o Retiro.Queue</t>
  </si>
  <si>
    <t>Waiting Time</t>
  </si>
  <si>
    <t>Queue</t>
  </si>
  <si>
    <t>Caja de Otras Transacciones.Queue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</si>
  <si>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</si>
  <si>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</si>
  <si>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</si>
  <si>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</si>
  <si>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</si>
  <si>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</si>
  <si>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</si>
  <si>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</si>
  <si>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Fila.Queue</t>
  </si>
  <si>
    <t>Number Waiting</t>
  </si>
  <si>
    <t>Caja1</t>
  </si>
  <si>
    <t>Instantaneous Utilization</t>
  </si>
  <si>
    <t>Resource</t>
  </si>
  <si>
    <t>Number Busy</t>
  </si>
  <si>
    <t>Number Scheduled</t>
  </si>
  <si>
    <t>Caja2</t>
  </si>
  <si>
    <t>WIP</t>
  </si>
  <si>
    <t>Hold 1.Queue</t>
  </si>
  <si>
    <t>Process 1.Queue</t>
  </si>
  <si>
    <t>Process 2.Queue</t>
  </si>
  <si>
    <t>Caja1.NumberSeized</t>
  </si>
  <si>
    <t>Total Number Seized</t>
  </si>
  <si>
    <t>Caja1.ScheduledUtilization</t>
  </si>
  <si>
    <t>Scheduled Utilization</t>
  </si>
  <si>
    <t>Caja2.NumberSeized</t>
  </si>
  <si>
    <t>Caja2.ScheduledUtilization</t>
  </si>
  <si>
    <t>Entity 1.NumberIn</t>
  </si>
  <si>
    <t>Number In</t>
  </si>
  <si>
    <t>Entity 1.NumberOut</t>
  </si>
  <si>
    <t>Number Out</t>
  </si>
  <si>
    <t>System.NumberOut</t>
  </si>
  <si>
    <t>System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</si>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</sst>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D" refreshedDate="45394.87765266203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D" refreshedDate="45394.877652777781" createdVersion="7" refreshedVersion="8" minRefreshableVersion="3" recordCount="9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Caja de Deposito o Retiro.Queue"/>
        <s v="Caja de Otras Transacciones.Queue"/>
        <s v="Entity 1"/>
        <s v="Fila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.03989786394598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9.0078828412936893E-3"/>
    </cacheField>
    <cacheField name="Maximum" numFmtId="0">
      <sharedItems containsSemiMixedTypes="0" containsString="0" containsNumber="1" minValue="0" maxValue="2.0186888776274898"/>
    </cacheField>
    <cacheField name="NumberObservations" numFmtId="0">
      <sharedItems containsSemiMixedTypes="0" containsString="0" containsNumber="1" containsInteger="1" minValue="45" maxValue="96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.03989786394598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.0398978639459899"/>
    </cacheField>
    <cacheField name="MaximumAverage" numFmtId="0">
      <sharedItems containsSemiMixedTypes="0" containsString="0" containsNumber="1" minValue="0" maxValue="1.0398978639459899"/>
    </cacheField>
    <cacheField name="OverallMinimum" numFmtId="0">
      <sharedItems containsSemiMixedTypes="0" containsString="0" containsNumber="1" minValue="0" maxValue="9.0078828412936893E-3"/>
    </cacheField>
    <cacheField name="OverallMaximum" numFmtId="0">
      <sharedItems containsSemiMixedTypes="0" containsString="0" containsNumber="1" minValue="0" maxValue="2.0186888776274898"/>
    </cacheField>
    <cacheField name="AverageNumberObservations" numFmtId="0">
      <sharedItems containsSemiMixedTypes="0" containsString="0" containsNumber="1" containsInteger="1" minValue="45" maxValue="96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D" refreshedDate="45394.877653009258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Caja1.NumberSeized"/>
        <s v="Caja1.ScheduledUtilization"/>
        <s v="Caja2.NumberSeized"/>
        <s v="Caja2.ScheduledUtilization"/>
        <s v="Entity 1.NumberIn"/>
        <s v="Entity 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45647743015543701" maxValue="22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45647743015543701" maxValue="228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45647743015543701" maxValue="228"/>
    </cacheField>
    <cacheField name="Maximum" numFmtId="0">
      <sharedItems containsSemiMixedTypes="0" containsString="0" containsNumber="1" minValue="0.45647743015543701" maxValue="2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D" refreshedDate="45394.87765324074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D" refreshedDate="45394.877653240743" createdVersion="7" refreshedVersion="8" minRefreshableVersion="3" recordCount="13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2">
        <s v="Caja de Deposito o Retiro.Queue"/>
        <s v="Caja de Otras Transacciones.Queue"/>
        <s v="Caja1"/>
        <s v="Caja2"/>
        <s v="Entity 1"/>
        <s v="Fila.Queue"/>
        <s v="Hold 1.Queue"/>
        <s v="Process 1.Queue"/>
        <s v="Process 2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Instantaneous Utilization"/>
        <s v="Number Busy"/>
        <s v="Number Scheduled"/>
        <s v="WIP"/>
        <m u="1"/>
        <s v="Levels" u="1"/>
      </sharedItems>
    </cacheField>
    <cacheField name="Source" numFmtId="0">
      <sharedItems containsBlank="1" count="5">
        <s v="Queue"/>
        <s v="Resource"/>
        <s v="Entity"/>
        <m u="1"/>
        <s v="User Specified" u="1"/>
      </sharedItems>
    </cacheField>
    <cacheField name="Average" numFmtId="0">
      <sharedItems containsSemiMixedTypes="0" containsString="0" containsNumber="1" minValue="0" maxValue="57.8702881555790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133"/>
    </cacheField>
    <cacheField name="LastRecordedValue" numFmtId="0">
      <sharedItems containsSemiMixedTypes="0" containsString="0" containsNumber="1" containsInteger="1" minValue="0" maxValue="13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57.870288155579097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57.870288155579097"/>
    </cacheField>
    <cacheField name="MaximumAverage" numFmtId="0">
      <sharedItems containsSemiMixedTypes="0" containsString="0" containsNumber="1" minValue="0" maxValue="57.870288155579097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4-04-09 12:52:53"/>
    <n v="1"/>
    <x v="0"/>
    <x v="0"/>
    <x v="0"/>
    <n v="0"/>
    <n v="2E+20"/>
    <n v="0"/>
    <n v="0"/>
    <n v="51"/>
    <s v="Unnamed ProjectCaja de Deposito o Retiro.QueueWaiting TimeQueue"/>
    <n v="1"/>
    <n v="0"/>
    <n v="0"/>
    <n v="0.95"/>
    <n v="4E+20"/>
    <n v="0"/>
    <n v="0"/>
    <n v="0"/>
    <n v="0"/>
    <n v="51"/>
    <n v="2E+20"/>
    <n v="1"/>
    <n v="1"/>
  </r>
  <r>
    <x v="0"/>
    <s v="2024-04-09 12:52:53"/>
    <n v="1"/>
    <x v="1"/>
    <x v="0"/>
    <x v="0"/>
    <n v="0"/>
    <n v="2E+20"/>
    <n v="0"/>
    <n v="0"/>
    <n v="45"/>
    <s v="Unnamed ProjectCaja de Otras Transacciones.QueueWaiting TimeQueue"/>
    <n v="1"/>
    <n v="0"/>
    <n v="0"/>
    <n v="0.95"/>
    <n v="4E+20"/>
    <n v="0"/>
    <n v="0"/>
    <n v="0"/>
    <n v="0"/>
    <n v="45"/>
    <n v="2E+20"/>
    <n v="1"/>
    <n v="1"/>
  </r>
  <r>
    <x v="0"/>
    <s v="2024-04-09 12:52:53"/>
    <n v="1"/>
    <x v="2"/>
    <x v="1"/>
    <x v="1"/>
    <n v="0"/>
    <n v="2E+20"/>
    <n v="0"/>
    <n v="0"/>
    <n v="95"/>
    <s v="Unnamed ProjectEntity 1NVA TimeEntity"/>
    <n v="1"/>
    <n v="0"/>
    <n v="0"/>
    <n v="0.95"/>
    <n v="4E+20"/>
    <n v="0"/>
    <n v="0"/>
    <n v="0"/>
    <n v="0"/>
    <n v="95"/>
    <n v="2E+20"/>
    <n v="1"/>
    <n v="1"/>
  </r>
  <r>
    <x v="0"/>
    <s v="2024-04-09 12:52:53"/>
    <n v="1"/>
    <x v="2"/>
    <x v="2"/>
    <x v="1"/>
    <n v="0"/>
    <n v="2E+20"/>
    <n v="0"/>
    <n v="0"/>
    <n v="95"/>
    <s v="Unnamed ProjectEntity 1Other TimeEntity"/>
    <n v="1"/>
    <n v="0"/>
    <n v="0"/>
    <n v="0.95"/>
    <n v="4E+20"/>
    <n v="0"/>
    <n v="0"/>
    <n v="0"/>
    <n v="0"/>
    <n v="95"/>
    <n v="2E+20"/>
    <n v="1"/>
    <n v="1"/>
  </r>
  <r>
    <x v="0"/>
    <s v="2024-04-09 12:52:53"/>
    <n v="1"/>
    <x v="2"/>
    <x v="3"/>
    <x v="1"/>
    <n v="1.0398978639459899"/>
    <n v="2E+20"/>
    <n v="9.0078828412936893E-3"/>
    <n v="2.0186888776274898"/>
    <n v="95"/>
    <s v="Unnamed ProjectEntity 1Total TimeEntity"/>
    <n v="1"/>
    <n v="1.0398978639459899"/>
    <n v="0"/>
    <n v="0.95"/>
    <n v="4E+20"/>
    <n v="1.0398978639459899"/>
    <n v="1.0398978639459899"/>
    <n v="9.0078828412936893E-3"/>
    <n v="2.0186888776274898"/>
    <n v="95"/>
    <n v="2E+20"/>
    <n v="1"/>
    <n v="1"/>
  </r>
  <r>
    <x v="0"/>
    <s v="2024-04-09 12:52:53"/>
    <n v="1"/>
    <x v="2"/>
    <x v="4"/>
    <x v="1"/>
    <n v="0"/>
    <n v="2E+20"/>
    <n v="0"/>
    <n v="0"/>
    <n v="95"/>
    <s v="Unnamed ProjectEntity 1Transfer TimeEntity"/>
    <n v="1"/>
    <n v="0"/>
    <n v="0"/>
    <n v="0.95"/>
    <n v="4E+20"/>
    <n v="0"/>
    <n v="0"/>
    <n v="0"/>
    <n v="0"/>
    <n v="95"/>
    <n v="2E+20"/>
    <n v="1"/>
    <n v="1"/>
  </r>
  <r>
    <x v="0"/>
    <s v="2024-04-09 12:52:53"/>
    <n v="1"/>
    <x v="2"/>
    <x v="5"/>
    <x v="1"/>
    <n v="4.2021784881116797E-2"/>
    <n v="2E+20"/>
    <n v="7.0881762462171594E-5"/>
    <n v="0.16812608447989399"/>
    <n v="95"/>
    <s v="Unnamed ProjectEntity 1VA TimeEntity"/>
    <n v="1"/>
    <n v="4.2021784881116797E-2"/>
    <n v="0"/>
    <n v="0.95"/>
    <n v="4E+20"/>
    <n v="4.2021784881116797E-2"/>
    <n v="4.2021784881116797E-2"/>
    <n v="7.0881762462171594E-5"/>
    <n v="0.16812608447989399"/>
    <n v="95"/>
    <n v="2E+20"/>
    <n v="1"/>
    <n v="1"/>
  </r>
  <r>
    <x v="0"/>
    <s v="2024-04-09 12:52:53"/>
    <n v="1"/>
    <x v="2"/>
    <x v="6"/>
    <x v="1"/>
    <n v="0.99787607906487397"/>
    <n v="2E+20"/>
    <n v="0"/>
    <n v="1.94089690243914"/>
    <n v="95"/>
    <s v="Unnamed ProjectEntity 1Wait TimeEntity"/>
    <n v="1"/>
    <n v="0.99787607906487397"/>
    <n v="0"/>
    <n v="0.95"/>
    <n v="4E+20"/>
    <n v="0.99787607906487397"/>
    <n v="0.99787607906487397"/>
    <n v="0"/>
    <n v="1.94089690243914"/>
    <n v="95"/>
    <n v="2E+20"/>
    <n v="1"/>
    <n v="1"/>
  </r>
  <r>
    <x v="0"/>
    <s v="2024-04-09 12:52:53"/>
    <n v="1"/>
    <x v="3"/>
    <x v="0"/>
    <x v="0"/>
    <n v="1.00816014380597"/>
    <n v="2E+20"/>
    <n v="0"/>
    <n v="1.98514629421004"/>
    <n v="96"/>
    <s v="Unnamed ProjectFila.QueueWaiting TimeQueue"/>
    <n v="1"/>
    <n v="1.00816014380597"/>
    <n v="0"/>
    <n v="0.95"/>
    <n v="4E+20"/>
    <n v="1.00816014380597"/>
    <n v="1.00816014380597"/>
    <n v="0"/>
    <n v="1.98514629421004"/>
    <n v="96"/>
    <n v="2E+20"/>
    <n v="1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4-04-09 12:52:53"/>
    <n v="1"/>
    <x v="0"/>
    <x v="0"/>
    <x v="0"/>
    <n v="51"/>
    <n v="0"/>
    <s v="Unnamed ProjectCaja1.NumberSeizedTotal Number SeizedResource"/>
    <n v="1"/>
    <n v="51"/>
    <n v="0"/>
    <n v="0.95"/>
    <n v="4E+20"/>
    <n v="51"/>
    <n v="51"/>
  </r>
  <r>
    <x v="0"/>
    <s v="2024-04-09 12:52:53"/>
    <n v="1"/>
    <x v="1"/>
    <x v="1"/>
    <x v="0"/>
    <n v="0.45647743015543701"/>
    <n v="0"/>
    <s v="Unnamed ProjectCaja1.ScheduledUtilizationScheduled UtilizationResource"/>
    <n v="1"/>
    <n v="0.45647743015543701"/>
    <n v="0"/>
    <n v="0.95"/>
    <n v="4E+20"/>
    <n v="0.45647743015543701"/>
    <n v="0.45647743015543701"/>
  </r>
  <r>
    <x v="0"/>
    <s v="2024-04-09 12:52:53"/>
    <n v="1"/>
    <x v="2"/>
    <x v="0"/>
    <x v="0"/>
    <n v="45"/>
    <n v="0"/>
    <s v="Unnamed ProjectCaja2.NumberSeizedTotal Number SeizedResource"/>
    <n v="1"/>
    <n v="45"/>
    <n v="0"/>
    <n v="0.95"/>
    <n v="4E+20"/>
    <n v="45"/>
    <n v="45"/>
  </r>
  <r>
    <x v="0"/>
    <s v="2024-04-09 12:52:53"/>
    <n v="1"/>
    <x v="3"/>
    <x v="1"/>
    <x v="0"/>
    <n v="0.54352256984456304"/>
    <n v="0"/>
    <s v="Unnamed ProjectCaja2.ScheduledUtilizationScheduled UtilizationResource"/>
    <n v="1"/>
    <n v="0.54352256984456304"/>
    <n v="0"/>
    <n v="0.95"/>
    <n v="4E+20"/>
    <n v="0.54352256984456304"/>
    <n v="0.54352256984456304"/>
  </r>
  <r>
    <x v="0"/>
    <s v="2024-04-09 12:52:53"/>
    <n v="1"/>
    <x v="4"/>
    <x v="2"/>
    <x v="1"/>
    <n v="228"/>
    <n v="0"/>
    <s v="Unnamed ProjectEntity 1.NumberInNumber InEntity"/>
    <n v="1"/>
    <n v="228"/>
    <n v="0"/>
    <n v="0.95"/>
    <n v="4E+20"/>
    <n v="228"/>
    <n v="228"/>
  </r>
  <r>
    <x v="0"/>
    <s v="2024-04-09 12:52:53"/>
    <n v="1"/>
    <x v="5"/>
    <x v="3"/>
    <x v="1"/>
    <n v="95"/>
    <n v="0"/>
    <s v="Unnamed ProjectEntity 1.NumberOutNumber OutEntity"/>
    <n v="1"/>
    <n v="95"/>
    <n v="0"/>
    <n v="0.95"/>
    <n v="4E+20"/>
    <n v="95"/>
    <n v="95"/>
  </r>
  <r>
    <x v="0"/>
    <s v="2024-04-09 12:52:53"/>
    <n v="1"/>
    <x v="6"/>
    <x v="3"/>
    <x v="2"/>
    <n v="95"/>
    <n v="0"/>
    <s v="Unnamed ProjectSystem.NumberOutNumber OutSystem"/>
    <n v="1"/>
    <n v="95"/>
    <n v="0"/>
    <n v="0.95"/>
    <n v="4E+20"/>
    <n v="95"/>
    <n v="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4-04-09 12:52:53"/>
    <n v="1"/>
    <x v="0"/>
    <x v="0"/>
    <x v="0"/>
    <n v="0"/>
    <n v="2E+20"/>
    <n v="0"/>
    <n v="0"/>
    <n v="0"/>
    <n v="0"/>
    <s v="Unnamed ProjectCaja de Deposito o Retiro.QueueNumber WaitingQueue"/>
    <n v="1"/>
    <n v="0"/>
    <n v="0"/>
    <n v="0.95"/>
    <n v="4E+20"/>
    <n v="0"/>
    <n v="0"/>
    <n v="2E+20"/>
  </r>
  <r>
    <x v="0"/>
    <s v="2024-04-09 12:52:53"/>
    <n v="1"/>
    <x v="1"/>
    <x v="0"/>
    <x v="0"/>
    <n v="0"/>
    <n v="2E+20"/>
    <n v="0"/>
    <n v="0"/>
    <n v="0"/>
    <n v="0"/>
    <s v="Unnamed ProjectCaja de Otras Transacciones.QueueNumber WaitingQueue"/>
    <n v="1"/>
    <n v="0"/>
    <n v="0"/>
    <n v="0.95"/>
    <n v="4E+20"/>
    <n v="0"/>
    <n v="0"/>
    <n v="2E+20"/>
  </r>
  <r>
    <x v="0"/>
    <s v="2024-04-09 12:52:53"/>
    <n v="1"/>
    <x v="2"/>
    <x v="1"/>
    <x v="1"/>
    <n v="0.45647743015543701"/>
    <n v="2E+20"/>
    <n v="0"/>
    <n v="1"/>
    <n v="0"/>
    <n v="0"/>
    <s v="Unnamed ProjectCaja1Instantaneous UtilizationResource"/>
    <n v="1"/>
    <n v="0.45647743015543701"/>
    <n v="0"/>
    <n v="0.95"/>
    <n v="4E+20"/>
    <n v="0.45647743015543701"/>
    <n v="0.45647743015543701"/>
    <n v="2E+20"/>
  </r>
  <r>
    <x v="0"/>
    <s v="2024-04-09 12:52:53"/>
    <n v="1"/>
    <x v="2"/>
    <x v="2"/>
    <x v="1"/>
    <n v="0.45647743015543701"/>
    <n v="2E+20"/>
    <n v="0"/>
    <n v="1"/>
    <n v="0"/>
    <n v="0"/>
    <s v="Unnamed ProjectCaja1Number BusyResource"/>
    <n v="1"/>
    <n v="0.45647743015543701"/>
    <n v="0"/>
    <n v="0.95"/>
    <n v="4E+20"/>
    <n v="0.45647743015543701"/>
    <n v="0.45647743015543701"/>
    <n v="2E+20"/>
  </r>
  <r>
    <x v="0"/>
    <s v="2024-04-09 12:52:53"/>
    <n v="1"/>
    <x v="2"/>
    <x v="3"/>
    <x v="1"/>
    <n v="1"/>
    <n v="2E+20"/>
    <n v="1"/>
    <n v="1"/>
    <n v="1"/>
    <n v="0"/>
    <s v="Unnamed ProjectCaja1Number ScheduledResource"/>
    <n v="1"/>
    <n v="1"/>
    <n v="0"/>
    <n v="0.95"/>
    <n v="4E+20"/>
    <n v="1"/>
    <n v="1"/>
    <n v="2E+20"/>
  </r>
  <r>
    <x v="0"/>
    <s v="2024-04-09 12:52:53"/>
    <n v="1"/>
    <x v="3"/>
    <x v="1"/>
    <x v="1"/>
    <n v="0.54352256984456304"/>
    <n v="2E+20"/>
    <n v="0"/>
    <n v="1"/>
    <n v="1"/>
    <n v="0"/>
    <s v="Unnamed ProjectCaja2Instantaneous UtilizationResource"/>
    <n v="1"/>
    <n v="0.54352256984456304"/>
    <n v="0"/>
    <n v="0.95"/>
    <n v="4E+20"/>
    <n v="0.54352256984456304"/>
    <n v="0.54352256984456304"/>
    <n v="2E+20"/>
  </r>
  <r>
    <x v="0"/>
    <s v="2024-04-09 12:52:53"/>
    <n v="1"/>
    <x v="3"/>
    <x v="2"/>
    <x v="1"/>
    <n v="0.54352256984456304"/>
    <n v="2E+20"/>
    <n v="0"/>
    <n v="1"/>
    <n v="1"/>
    <n v="0"/>
    <s v="Unnamed ProjectCaja2Number BusyResource"/>
    <n v="1"/>
    <n v="0.54352256984456304"/>
    <n v="0"/>
    <n v="0.95"/>
    <n v="4E+20"/>
    <n v="0.54352256984456304"/>
    <n v="0.54352256984456304"/>
    <n v="2E+20"/>
  </r>
  <r>
    <x v="0"/>
    <s v="2024-04-09 12:52:53"/>
    <n v="1"/>
    <x v="3"/>
    <x v="3"/>
    <x v="1"/>
    <n v="1"/>
    <n v="2E+20"/>
    <n v="1"/>
    <n v="1"/>
    <n v="1"/>
    <n v="0"/>
    <s v="Unnamed ProjectCaja2Number ScheduledResource"/>
    <n v="1"/>
    <n v="1"/>
    <n v="0"/>
    <n v="0.95"/>
    <n v="4E+20"/>
    <n v="1"/>
    <n v="1"/>
    <n v="2E+20"/>
  </r>
  <r>
    <x v="0"/>
    <s v="2024-04-09 12:52:53"/>
    <n v="1"/>
    <x v="4"/>
    <x v="4"/>
    <x v="2"/>
    <n v="57.870288155579097"/>
    <n v="2E+20"/>
    <n v="0"/>
    <n v="133"/>
    <n v="133"/>
    <n v="0"/>
    <s v="Unnamed ProjectEntity 1WIPEntity"/>
    <n v="1"/>
    <n v="57.870288155579097"/>
    <n v="0"/>
    <n v="0.95"/>
    <n v="4E+20"/>
    <n v="57.870288155579097"/>
    <n v="57.870288155579097"/>
    <n v="2E+20"/>
  </r>
  <r>
    <x v="0"/>
    <s v="2024-04-09 12:52:53"/>
    <n v="1"/>
    <x v="5"/>
    <x v="0"/>
    <x v="0"/>
    <n v="56.870288155579097"/>
    <n v="2E+20"/>
    <n v="0"/>
    <n v="132"/>
    <n v="132"/>
    <n v="0"/>
    <s v="Unnamed ProjectFila.QueueNumber WaitingQueue"/>
    <n v="1"/>
    <n v="56.870288155579097"/>
    <n v="0"/>
    <n v="0.95"/>
    <n v="4E+20"/>
    <n v="56.870288155579097"/>
    <n v="56.870288155579097"/>
    <n v="2E+20"/>
  </r>
  <r>
    <x v="0"/>
    <s v="2024-04-09 12:52:53"/>
    <n v="1"/>
    <x v="6"/>
    <x v="0"/>
    <x v="0"/>
    <n v="0"/>
    <n v="2E+20"/>
    <n v="0"/>
    <n v="0"/>
    <n v="0"/>
    <n v="0"/>
    <s v="Unnamed ProjectHold 1.QueueNumber WaitingQueue"/>
    <n v="1"/>
    <n v="0"/>
    <n v="0"/>
    <n v="0.95"/>
    <n v="4E+20"/>
    <n v="0"/>
    <n v="0"/>
    <n v="2E+20"/>
  </r>
  <r>
    <x v="0"/>
    <s v="2024-04-09 12:52:53"/>
    <n v="1"/>
    <x v="7"/>
    <x v="0"/>
    <x v="0"/>
    <n v="0"/>
    <n v="2E+20"/>
    <n v="0"/>
    <n v="0"/>
    <n v="0"/>
    <n v="0"/>
    <s v="Unnamed ProjectProcess 1.QueueNumber WaitingQueue"/>
    <n v="1"/>
    <n v="0"/>
    <n v="0"/>
    <n v="0.95"/>
    <n v="4E+20"/>
    <n v="0"/>
    <n v="0"/>
    <n v="2E+20"/>
  </r>
  <r>
    <x v="0"/>
    <s v="2024-04-09 12:52:53"/>
    <n v="1"/>
    <x v="8"/>
    <x v="0"/>
    <x v="0"/>
    <n v="0"/>
    <n v="2E+20"/>
    <n v="0"/>
    <n v="0"/>
    <n v="0"/>
    <n v="0"/>
    <s v="Unnamed ProjectProcess 2.QueueNumber WaitingQueue"/>
    <n v="1"/>
    <n v="0"/>
    <n v="0"/>
    <n v="0.95"/>
    <n v="4E+20"/>
    <n v="0"/>
    <n v="0"/>
    <n v="2E+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4"/>
        <item m="1" x="37"/>
        <item m="1" x="9"/>
        <item m="1" x="89"/>
        <item m="1" x="72"/>
        <item m="1" x="42"/>
        <item m="1" x="98"/>
        <item m="1" x="30"/>
        <item m="1" x="34"/>
        <item x="2"/>
        <item m="1" x="67"/>
        <item m="1" x="79"/>
        <item m="1" x="84"/>
        <item m="1" x="8"/>
        <item m="1" x="36"/>
        <item m="1" x="26"/>
        <item m="1" x="101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3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x="4"/>
        <item x="5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79"/>
        <item m="1" x="21"/>
        <item m="1" x="82"/>
        <item m="1" x="49"/>
        <item m="1" x="16"/>
        <item m="1" x="77"/>
        <item m="1" x="73"/>
        <item m="1" x="50"/>
        <item m="1" x="17"/>
        <item m="1" x="78"/>
        <item m="1" x="74"/>
        <item m="1" x="12"/>
        <item m="1" x="46"/>
        <item m="1" x="30"/>
        <item m="1" x="20"/>
        <item m="1" x="71"/>
        <item m="1" x="42"/>
        <item m="1" x="72"/>
        <item m="1" x="43"/>
        <item m="1" x="29"/>
        <item m="1" x="24"/>
        <item m="1" x="51"/>
        <item m="1" x="26"/>
        <item m="1" x="81"/>
        <item m="1" x="75"/>
        <item m="1" x="25"/>
        <item m="1" x="23"/>
        <item m="1" x="68"/>
        <item m="1" x="76"/>
        <item m="1" x="13"/>
        <item m="1" x="31"/>
        <item m="1" x="44"/>
        <item m="1" x="65"/>
        <item m="1" x="80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2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x="4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1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5"/>
        <item x="6"/>
        <item x="7"/>
        <item x="8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m="1" x="5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2"/>
      <x v="4"/>
      <x/>
    </i>
    <i r="1">
      <x v="124"/>
      <x v="3"/>
      <x v="1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" tableType="queryTable" totalsRowShown="0">
  <autoFilter ref="A1:Y10" xr:uid="{C3D003CA-1AFF-426C-A03D-D3AF5760DF1A}"/>
  <sortState xmlns:xlrd2="http://schemas.microsoft.com/office/spreadsheetml/2017/richdata2" ref="A2:Y10">
    <sortCondition ref="D1:D10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4" tableType="queryTable" totalsRowShown="0">
  <autoFilter ref="A1:U14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baseColWidth="10" defaultColWidth="8.88671875" defaultRowHeight="14.4" x14ac:dyDescent="0.3"/>
  <cols>
    <col min="1" max="1" width="15.109375" bestFit="1" customWidth="1"/>
    <col min="2" max="2" width="63.109375" bestFit="1" customWidth="1"/>
    <col min="3" max="3" width="18" bestFit="1" customWidth="1"/>
    <col min="4" max="4" width="11.6640625" bestFit="1" customWidth="1"/>
    <col min="5" max="5" width="22.33203125" bestFit="1" customWidth="1"/>
    <col min="6" max="6" width="24.109375" bestFit="1" customWidth="1"/>
    <col min="7" max="7" width="19.33203125" bestFit="1" customWidth="1"/>
    <col min="8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3</v>
      </c>
      <c r="E2">
        <v>1</v>
      </c>
      <c r="F2">
        <v>4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tabSelected="1" workbookViewId="0"/>
  </sheetViews>
  <sheetFormatPr baseColWidth="10" defaultColWidth="8.88671875"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5546875" bestFit="1" customWidth="1"/>
    <col min="6" max="6" width="19.44140625" bestFit="1" customWidth="1"/>
    <col min="7" max="7" width="10.109375" bestFit="1" customWidth="1"/>
    <col min="8" max="8" width="26.5546875" bestFit="1" customWidth="1"/>
    <col min="9" max="9" width="26.6640625" bestFit="1" customWidth="1"/>
    <col min="10" max="10" width="27" bestFit="1" customWidth="1"/>
    <col min="11" max="11" width="15.88671875" bestFit="1" customWidth="1"/>
    <col min="12" max="12" width="16.33203125" bestFit="1" customWidth="1"/>
    <col min="13" max="13" width="29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5546875" bestFit="1" customWidth="1"/>
    <col min="20" max="20" width="10.109375" bestFit="1" customWidth="1"/>
    <col min="21" max="21" width="26.5546875" bestFit="1" customWidth="1"/>
    <col min="22" max="22" width="21.6640625" bestFit="1" customWidth="1"/>
    <col min="23" max="23" width="22" bestFit="1" customWidth="1"/>
    <col min="24" max="24" width="15.88671875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0" bestFit="1" customWidth="1"/>
    <col min="31" max="31" width="24.5546875" bestFit="1" customWidth="1"/>
    <col min="32" max="32" width="10.109375" bestFit="1" customWidth="1"/>
    <col min="33" max="33" width="29" bestFit="1" customWidth="1"/>
    <col min="34" max="34" width="19.44140625" bestFit="1" customWidth="1"/>
    <col min="35" max="35" width="19.77734375" bestFit="1" customWidth="1"/>
    <col min="36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5546875" bestFit="1" customWidth="1"/>
    <col min="42" max="42" width="10.109375" bestFit="1" customWidth="1"/>
    <col min="43" max="43" width="29" bestFit="1" customWidth="1"/>
    <col min="44" max="44" width="19.44140625" bestFit="1" customWidth="1"/>
    <col min="45" max="45" width="19.77734375" bestFit="1" customWidth="1"/>
    <col min="46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10" bestFit="1" customWidth="1"/>
    <col min="51" max="51" width="26.109375" bestFit="1" customWidth="1"/>
    <col min="52" max="52" width="26.88671875" bestFit="1" customWidth="1"/>
    <col min="53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74</v>
      </c>
      <c r="C3" t="s">
        <v>75</v>
      </c>
      <c r="D3" t="s">
        <v>76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95</v>
      </c>
      <c r="O3" t="s">
        <v>66</v>
      </c>
      <c r="P3" t="s">
        <v>74</v>
      </c>
      <c r="Q3" t="s">
        <v>90</v>
      </c>
      <c r="R3" t="s">
        <v>76</v>
      </c>
      <c r="S3" s="5">
        <v>57.870288155579097</v>
      </c>
      <c r="T3" s="5">
        <v>2E+20</v>
      </c>
      <c r="U3" s="5">
        <v>0</v>
      </c>
      <c r="V3" s="5">
        <v>57.870288155579097</v>
      </c>
      <c r="W3" s="5">
        <v>57.870288155579097</v>
      </c>
      <c r="X3" s="5">
        <v>0</v>
      </c>
      <c r="Y3" s="5">
        <v>133</v>
      </c>
      <c r="AA3" t="s">
        <v>106</v>
      </c>
      <c r="AB3" t="s">
        <v>106</v>
      </c>
      <c r="AC3" t="s">
        <v>106</v>
      </c>
      <c r="AD3" t="s">
        <v>106</v>
      </c>
      <c r="AE3" s="5"/>
      <c r="AF3" s="5"/>
      <c r="AG3" s="5"/>
      <c r="AH3" s="5"/>
      <c r="AI3" s="5"/>
      <c r="AK3" t="s">
        <v>66</v>
      </c>
      <c r="AL3" t="s">
        <v>104</v>
      </c>
      <c r="AM3" t="s">
        <v>103</v>
      </c>
      <c r="AN3" t="s">
        <v>105</v>
      </c>
      <c r="AO3" s="5">
        <v>95</v>
      </c>
      <c r="AP3" s="5">
        <v>4E+20</v>
      </c>
      <c r="AQ3" s="5">
        <v>0</v>
      </c>
      <c r="AR3" s="5">
        <v>95</v>
      </c>
      <c r="AS3" s="5">
        <v>95</v>
      </c>
      <c r="AU3" t="s">
        <v>106</v>
      </c>
      <c r="AV3" t="s">
        <v>106</v>
      </c>
      <c r="AW3" t="s">
        <v>106</v>
      </c>
      <c r="AX3" t="s">
        <v>106</v>
      </c>
      <c r="AY3" s="4"/>
      <c r="AZ3" s="4"/>
    </row>
    <row r="4" spans="1:52" x14ac:dyDescent="0.3">
      <c r="C4" t="s">
        <v>77</v>
      </c>
      <c r="D4" t="s">
        <v>76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95</v>
      </c>
      <c r="P4" t="s">
        <v>70</v>
      </c>
      <c r="Q4" t="s">
        <v>83</v>
      </c>
      <c r="R4" t="s">
        <v>72</v>
      </c>
      <c r="S4" s="5">
        <v>0</v>
      </c>
      <c r="T4" s="5">
        <v>2E+20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100</v>
      </c>
      <c r="AM4" t="s">
        <v>101</v>
      </c>
      <c r="AN4" t="s">
        <v>76</v>
      </c>
      <c r="AO4" s="5">
        <v>228</v>
      </c>
      <c r="AP4" s="5">
        <v>4E+20</v>
      </c>
      <c r="AQ4" s="5">
        <v>0</v>
      </c>
      <c r="AR4" s="5">
        <v>228</v>
      </c>
      <c r="AS4" s="5">
        <v>228</v>
      </c>
    </row>
    <row r="5" spans="1:52" x14ac:dyDescent="0.3">
      <c r="C5" t="s">
        <v>78</v>
      </c>
      <c r="D5" t="s">
        <v>76</v>
      </c>
      <c r="E5" s="5">
        <v>1.0398978639459899</v>
      </c>
      <c r="F5" s="5">
        <v>1</v>
      </c>
      <c r="G5" s="5">
        <v>2E+20</v>
      </c>
      <c r="H5" s="5">
        <v>0</v>
      </c>
      <c r="I5" s="5">
        <v>1.0398978639459899</v>
      </c>
      <c r="J5" s="5">
        <v>1.0398978639459899</v>
      </c>
      <c r="K5" s="5">
        <v>9.0078828412936893E-3</v>
      </c>
      <c r="L5" s="5">
        <v>2.0186888776274898</v>
      </c>
      <c r="M5" s="5">
        <v>95</v>
      </c>
      <c r="P5" t="s">
        <v>73</v>
      </c>
      <c r="Q5" t="s">
        <v>83</v>
      </c>
      <c r="R5" t="s">
        <v>72</v>
      </c>
      <c r="S5" s="5">
        <v>0</v>
      </c>
      <c r="T5" s="5">
        <v>2E+20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102</v>
      </c>
      <c r="AM5" t="s">
        <v>103</v>
      </c>
      <c r="AN5" t="s">
        <v>76</v>
      </c>
      <c r="AO5" s="5">
        <v>95</v>
      </c>
      <c r="AP5" s="5">
        <v>4E+20</v>
      </c>
      <c r="AQ5" s="5">
        <v>0</v>
      </c>
      <c r="AR5" s="5">
        <v>95</v>
      </c>
      <c r="AS5" s="5">
        <v>95</v>
      </c>
    </row>
    <row r="6" spans="1:52" x14ac:dyDescent="0.3">
      <c r="C6" t="s">
        <v>79</v>
      </c>
      <c r="D6" t="s">
        <v>76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95</v>
      </c>
      <c r="P6" t="s">
        <v>84</v>
      </c>
      <c r="Q6" t="s">
        <v>85</v>
      </c>
      <c r="R6" t="s">
        <v>86</v>
      </c>
      <c r="S6" s="5">
        <v>0.45647743015543701</v>
      </c>
      <c r="T6" s="5">
        <v>2E+20</v>
      </c>
      <c r="U6" s="5">
        <v>0</v>
      </c>
      <c r="V6" s="5">
        <v>0.45647743015543701</v>
      </c>
      <c r="W6" s="5">
        <v>0.45647743015543701</v>
      </c>
      <c r="X6" s="5">
        <v>0</v>
      </c>
      <c r="Y6" s="5">
        <v>1</v>
      </c>
      <c r="AL6" t="s">
        <v>94</v>
      </c>
      <c r="AM6" t="s">
        <v>95</v>
      </c>
      <c r="AN6" t="s">
        <v>86</v>
      </c>
      <c r="AO6" s="5">
        <v>51</v>
      </c>
      <c r="AP6" s="5">
        <v>4E+20</v>
      </c>
      <c r="AQ6" s="5">
        <v>0</v>
      </c>
      <c r="AR6" s="5">
        <v>51</v>
      </c>
      <c r="AS6" s="5">
        <v>51</v>
      </c>
    </row>
    <row r="7" spans="1:52" x14ac:dyDescent="0.3">
      <c r="C7" t="s">
        <v>80</v>
      </c>
      <c r="D7" t="s">
        <v>76</v>
      </c>
      <c r="E7" s="5">
        <v>4.2021784881116797E-2</v>
      </c>
      <c r="F7" s="5">
        <v>1</v>
      </c>
      <c r="G7" s="5">
        <v>2E+20</v>
      </c>
      <c r="H7" s="5">
        <v>0</v>
      </c>
      <c r="I7" s="5">
        <v>4.2021784881116797E-2</v>
      </c>
      <c r="J7" s="5">
        <v>4.2021784881116797E-2</v>
      </c>
      <c r="K7" s="5">
        <v>7.0881762462171594E-5</v>
      </c>
      <c r="L7" s="5">
        <v>0.16812608447989399</v>
      </c>
      <c r="M7" s="5">
        <v>95</v>
      </c>
      <c r="Q7" t="s">
        <v>87</v>
      </c>
      <c r="R7" t="s">
        <v>86</v>
      </c>
      <c r="S7" s="5">
        <v>0.45647743015543701</v>
      </c>
      <c r="T7" s="5">
        <v>2E+20</v>
      </c>
      <c r="U7" s="5">
        <v>0</v>
      </c>
      <c r="V7" s="5">
        <v>0.45647743015543701</v>
      </c>
      <c r="W7" s="5">
        <v>0.45647743015543701</v>
      </c>
      <c r="X7" s="5">
        <v>0</v>
      </c>
      <c r="Y7" s="5">
        <v>1</v>
      </c>
      <c r="AL7" t="s">
        <v>96</v>
      </c>
      <c r="AM7" t="s">
        <v>97</v>
      </c>
      <c r="AN7" t="s">
        <v>86</v>
      </c>
      <c r="AO7" s="5">
        <v>0.45647743015543701</v>
      </c>
      <c r="AP7" s="5">
        <v>4E+20</v>
      </c>
      <c r="AQ7" s="5">
        <v>0</v>
      </c>
      <c r="AR7" s="5">
        <v>0.45647743015543701</v>
      </c>
      <c r="AS7" s="5">
        <v>0.45647743015543701</v>
      </c>
    </row>
    <row r="8" spans="1:52" x14ac:dyDescent="0.3">
      <c r="C8" t="s">
        <v>81</v>
      </c>
      <c r="D8" t="s">
        <v>76</v>
      </c>
      <c r="E8" s="5">
        <v>0.99787607906487397</v>
      </c>
      <c r="F8" s="5">
        <v>1</v>
      </c>
      <c r="G8" s="5">
        <v>2E+20</v>
      </c>
      <c r="H8" s="5">
        <v>0</v>
      </c>
      <c r="I8" s="5">
        <v>0.99787607906487397</v>
      </c>
      <c r="J8" s="5">
        <v>0.99787607906487397</v>
      </c>
      <c r="K8" s="5">
        <v>0</v>
      </c>
      <c r="L8" s="5">
        <v>1.94089690243914</v>
      </c>
      <c r="M8" s="5">
        <v>95</v>
      </c>
      <c r="Q8" t="s">
        <v>88</v>
      </c>
      <c r="R8" t="s">
        <v>86</v>
      </c>
      <c r="S8" s="5">
        <v>1</v>
      </c>
      <c r="T8" s="5">
        <v>2E+20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98</v>
      </c>
      <c r="AM8" t="s">
        <v>95</v>
      </c>
      <c r="AN8" t="s">
        <v>86</v>
      </c>
      <c r="AO8" s="5">
        <v>45</v>
      </c>
      <c r="AP8" s="5">
        <v>4E+20</v>
      </c>
      <c r="AQ8" s="5">
        <v>0</v>
      </c>
      <c r="AR8" s="5">
        <v>45</v>
      </c>
      <c r="AS8" s="5">
        <v>45</v>
      </c>
    </row>
    <row r="9" spans="1:52" x14ac:dyDescent="0.3">
      <c r="B9" t="s">
        <v>70</v>
      </c>
      <c r="C9" t="s">
        <v>71</v>
      </c>
      <c r="D9" t="s">
        <v>72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51</v>
      </c>
      <c r="P9" t="s">
        <v>89</v>
      </c>
      <c r="Q9" t="s">
        <v>85</v>
      </c>
      <c r="R9" t="s">
        <v>86</v>
      </c>
      <c r="S9" s="5">
        <v>0.54352256984456304</v>
      </c>
      <c r="T9" s="5">
        <v>2E+20</v>
      </c>
      <c r="U9" s="5">
        <v>0</v>
      </c>
      <c r="V9" s="5">
        <v>0.54352256984456304</v>
      </c>
      <c r="W9" s="5">
        <v>0.54352256984456304</v>
      </c>
      <c r="X9" s="5">
        <v>0</v>
      </c>
      <c r="Y9" s="5">
        <v>1</v>
      </c>
      <c r="AL9" t="s">
        <v>99</v>
      </c>
      <c r="AM9" t="s">
        <v>97</v>
      </c>
      <c r="AN9" t="s">
        <v>86</v>
      </c>
      <c r="AO9" s="5">
        <v>0.54352256984456304</v>
      </c>
      <c r="AP9" s="5">
        <v>4E+20</v>
      </c>
      <c r="AQ9" s="5">
        <v>0</v>
      </c>
      <c r="AR9" s="5">
        <v>0.54352256984456304</v>
      </c>
      <c r="AS9" s="5">
        <v>0.54352256984456304</v>
      </c>
    </row>
    <row r="10" spans="1:52" x14ac:dyDescent="0.3">
      <c r="B10" t="s">
        <v>73</v>
      </c>
      <c r="C10" t="s">
        <v>71</v>
      </c>
      <c r="D10" t="s">
        <v>72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45</v>
      </c>
      <c r="Q10" t="s">
        <v>87</v>
      </c>
      <c r="R10" t="s">
        <v>86</v>
      </c>
      <c r="S10" s="5">
        <v>0.54352256984456304</v>
      </c>
      <c r="T10" s="5">
        <v>2E+20</v>
      </c>
      <c r="U10" s="5">
        <v>0</v>
      </c>
      <c r="V10" s="5">
        <v>0.54352256984456304</v>
      </c>
      <c r="W10" s="5">
        <v>0.54352256984456304</v>
      </c>
      <c r="X10" s="5">
        <v>0</v>
      </c>
      <c r="Y10" s="5">
        <v>1</v>
      </c>
    </row>
    <row r="11" spans="1:52" x14ac:dyDescent="0.3">
      <c r="B11" t="s">
        <v>82</v>
      </c>
      <c r="C11" t="s">
        <v>71</v>
      </c>
      <c r="D11" t="s">
        <v>72</v>
      </c>
      <c r="E11" s="5">
        <v>1.00816014380597</v>
      </c>
      <c r="F11" s="5">
        <v>1</v>
      </c>
      <c r="G11" s="5">
        <v>2E+20</v>
      </c>
      <c r="H11" s="5">
        <v>0</v>
      </c>
      <c r="I11" s="5">
        <v>1.00816014380597</v>
      </c>
      <c r="J11" s="5">
        <v>1.00816014380597</v>
      </c>
      <c r="K11" s="5">
        <v>0</v>
      </c>
      <c r="L11" s="5">
        <v>1.98514629421004</v>
      </c>
      <c r="M11" s="5">
        <v>96</v>
      </c>
      <c r="Q11" t="s">
        <v>88</v>
      </c>
      <c r="R11" t="s">
        <v>86</v>
      </c>
      <c r="S11" s="5">
        <v>1</v>
      </c>
      <c r="T11" s="5">
        <v>2E+20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</row>
    <row r="12" spans="1:52" x14ac:dyDescent="0.3">
      <c r="P12" t="s">
        <v>82</v>
      </c>
      <c r="Q12" t="s">
        <v>83</v>
      </c>
      <c r="R12" t="s">
        <v>72</v>
      </c>
      <c r="S12" s="5">
        <v>56.870288155579097</v>
      </c>
      <c r="T12" s="5">
        <v>2E+20</v>
      </c>
      <c r="U12" s="5">
        <v>0</v>
      </c>
      <c r="V12" s="5">
        <v>56.870288155579097</v>
      </c>
      <c r="W12" s="5">
        <v>56.870288155579097</v>
      </c>
      <c r="X12" s="5">
        <v>0</v>
      </c>
      <c r="Y12" s="5">
        <v>132</v>
      </c>
    </row>
    <row r="13" spans="1:52" x14ac:dyDescent="0.3">
      <c r="P13" t="s">
        <v>91</v>
      </c>
      <c r="Q13" t="s">
        <v>83</v>
      </c>
      <c r="R13" t="s">
        <v>72</v>
      </c>
      <c r="S13" s="5">
        <v>0</v>
      </c>
      <c r="T13" s="5">
        <v>2E+20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</row>
    <row r="14" spans="1:52" x14ac:dyDescent="0.3">
      <c r="P14" t="s">
        <v>92</v>
      </c>
      <c r="Q14" t="s">
        <v>83</v>
      </c>
      <c r="R14" t="s">
        <v>72</v>
      </c>
      <c r="S14" s="5">
        <v>0</v>
      </c>
      <c r="T14" s="5">
        <v>2E+20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</row>
    <row r="15" spans="1:52" x14ac:dyDescent="0.3">
      <c r="P15" t="s">
        <v>93</v>
      </c>
      <c r="Q15" t="s">
        <v>83</v>
      </c>
      <c r="R15" t="s">
        <v>72</v>
      </c>
      <c r="S15" s="5">
        <v>0</v>
      </c>
      <c r="T15" s="5">
        <v>2E+20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</row>
  </sheetData>
  <dataConsolidate/>
  <conditionalFormatting pivot="1" sqref="G3:G11">
    <cfRule type="expression" dxfId="31" priority="14">
      <formula>G3=200000000000000000000</formula>
    </cfRule>
  </conditionalFormatting>
  <conditionalFormatting pivot="1" sqref="T3:T15">
    <cfRule type="expression" dxfId="30" priority="13">
      <formula>T3=200000000000000000000</formula>
    </cfRule>
  </conditionalFormatting>
  <conditionalFormatting pivot="1" sqref="T3:T15">
    <cfRule type="expression" dxfId="29" priority="12">
      <formula>T3=300000000000000000000</formula>
    </cfRule>
  </conditionalFormatting>
  <conditionalFormatting pivot="1" sqref="G3:G11">
    <cfRule type="expression" dxfId="28" priority="11">
      <formula>G3=300000000000000000000</formula>
    </cfRule>
  </conditionalFormatting>
  <conditionalFormatting pivot="1" sqref="F3:F11">
    <cfRule type="expression" dxfId="27" priority="10">
      <formula>F3=0</formula>
    </cfRule>
  </conditionalFormatting>
  <conditionalFormatting pivot="1" sqref="F3:F11">
    <cfRule type="expression" dxfId="26" priority="9">
      <formula>F3=1</formula>
    </cfRule>
  </conditionalFormatting>
  <conditionalFormatting pivot="1" sqref="T3:T15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1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"/>
  <sheetViews>
    <sheetView workbookViewId="0">
      <selection activeCell="A2" sqref="A2:K61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30.109375" bestFit="1" customWidth="1"/>
    <col min="5" max="5" width="12.21875" bestFit="1" customWidth="1"/>
    <col min="6" max="6" width="9" bestFit="1" customWidth="1"/>
    <col min="7" max="7" width="12" bestFit="1" customWidth="1"/>
    <col min="8" max="8" width="22.21875" bestFit="1" customWidth="1"/>
    <col min="9" max="10" width="12" bestFit="1" customWidth="1"/>
    <col min="11" max="11" width="21.21875" bestFit="1" customWidth="1"/>
    <col min="12" max="12" width="60.88671875" bestFit="1" customWidth="1"/>
    <col min="13" max="13" width="16.109375" bestFit="1" customWidth="1"/>
    <col min="14" max="14" width="19.109375" customWidth="1"/>
    <col min="15" max="15" width="17" bestFit="1" customWidth="1"/>
    <col min="16" max="16" width="19.332031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33203125" bestFit="1" customWidth="1"/>
    <col min="21" max="21" width="17.6640625" bestFit="1" customWidth="1"/>
    <col min="22" max="22" width="28.21875" bestFit="1" customWidth="1"/>
    <col min="23" max="23" width="19.88671875" bestFit="1" customWidth="1"/>
    <col min="24" max="24" width="22.6640625" bestFit="1" customWidth="1"/>
    <col min="25" max="25" width="21.2187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51</v>
      </c>
      <c r="L2" t="str">
        <f>DiscreteStatsTable[[#This Row],[ProjectName]]&amp;DiscreteStatsTable[[#This Row],[Name]]&amp;DiscreteStatsTable[[#This Row],[Type]]&amp;DiscreteStatsTable[[#This Row],[Source]]</f>
        <v>Unnamed ProjectCaja de Deposito o Retiro.QueueWaiting TimeQueue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0</v>
      </c>
      <c r="S2">
        <f t="array" ref="S2">MAX(IF((DiscreteStatsTable[GroupByKey]=DiscreteStatsTable[[#This Row],[GroupByKey]]),(DiscreteStatsTable[GroupByKey]=DiscreteStatsTable[[#This Row],[GroupByKey]])*DiscreteStatsTable[Average]))</f>
        <v>0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51</v>
      </c>
      <c r="W2">
        <f>IF((DiscreteStatsTable[[#This Row],[RepsRequested]]&gt;1),DiscreteStatsTable[[#This Row],[HalfWidth]],DiscreteStatsTable[[#This Row],[BatchMeansHalfWidth]])</f>
        <v>2E+20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45</v>
      </c>
      <c r="L3" t="str">
        <f>DiscreteStatsTable[[#This Row],[ProjectName]]&amp;DiscreteStatsTable[[#This Row],[Name]]&amp;DiscreteStatsTable[[#This Row],[Type]]&amp;DiscreteStatsTable[[#This Row],[Source]]</f>
        <v>Unnamed ProjectCaja de Otras Transacciones.QueueWaiting TimeQueue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0</v>
      </c>
      <c r="S3">
        <f t="array" ref="S3">MAX(IF((DiscreteStatsTable[GroupByKey]=DiscreteStatsTable[[#This Row],[GroupByKey]]),(DiscreteStatsTable[GroupByKey]=DiscreteStatsTable[[#This Row],[GroupByKey]])*DiscreteStatsTable[Average]))</f>
        <v>0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0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45</v>
      </c>
      <c r="W3">
        <f>IF((DiscreteStatsTable[[#This Row],[RepsRequested]]&gt;1),DiscreteStatsTable[[#This Row],[HalfWidth]],DiscreteStatsTable[[#This Row],[BatchMeansHalfWidth]])</f>
        <v>2E+20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74</v>
      </c>
      <c r="E4" t="s">
        <v>75</v>
      </c>
      <c r="F4" t="s">
        <v>76</v>
      </c>
      <c r="G4">
        <v>0</v>
      </c>
      <c r="H4">
        <v>2E+20</v>
      </c>
      <c r="I4">
        <v>0</v>
      </c>
      <c r="J4">
        <v>0</v>
      </c>
      <c r="K4">
        <v>95</v>
      </c>
      <c r="L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0</v>
      </c>
      <c r="S4">
        <f t="array" ref="S4">MAX(IF((DiscreteStatsTable[GroupByKey]=DiscreteStatsTable[[#This Row],[GroupByKey]]),(DiscreteStatsTable[GroupByKey]=DiscreteStatsTable[[#This Row],[GroupByKey]])*DiscreteStatsTable[Average]))</f>
        <v>0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0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95</v>
      </c>
      <c r="W4">
        <f>IF((DiscreteStatsTable[[#This Row],[RepsRequested]]&gt;1),DiscreteStatsTable[[#This Row],[HalfWidth]],DiscreteStatsTable[[#This Row],[BatchMeansHalfWidth]])</f>
        <v>2E+20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74</v>
      </c>
      <c r="E5" t="s">
        <v>77</v>
      </c>
      <c r="F5" t="s">
        <v>76</v>
      </c>
      <c r="G5">
        <v>0</v>
      </c>
      <c r="H5">
        <v>2E+20</v>
      </c>
      <c r="I5">
        <v>0</v>
      </c>
      <c r="J5">
        <v>0</v>
      </c>
      <c r="K5">
        <v>95</v>
      </c>
      <c r="L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0</v>
      </c>
      <c r="S5">
        <f t="array" ref="S5">MAX(IF((DiscreteStatsTable[GroupByKey]=DiscreteStatsTable[[#This Row],[GroupByKey]]),(DiscreteStatsTable[GroupByKey]=DiscreteStatsTable[[#This Row],[GroupByKey]])*DiscreteStatsTable[Average]))</f>
        <v>0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0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95</v>
      </c>
      <c r="W5">
        <f>IF((DiscreteStatsTable[[#This Row],[RepsRequested]]&gt;1),DiscreteStatsTable[[#This Row],[HalfWidth]],DiscreteStatsTable[[#This Row],[BatchMeansHalfWidth]])</f>
        <v>2E+20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74</v>
      </c>
      <c r="E6" t="s">
        <v>78</v>
      </c>
      <c r="F6" t="s">
        <v>76</v>
      </c>
      <c r="G6">
        <v>1.0398978639459899</v>
      </c>
      <c r="H6">
        <v>2E+20</v>
      </c>
      <c r="I6">
        <v>9.0078828412936893E-3</v>
      </c>
      <c r="J6">
        <v>2.0186888776274898</v>
      </c>
      <c r="K6">
        <v>95</v>
      </c>
      <c r="L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1.0398978639459899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1.0398978639459899</v>
      </c>
      <c r="S6">
        <f t="array" ref="S6">MAX(IF((DiscreteStatsTable[GroupByKey]=DiscreteStatsTable[[#This Row],[GroupByKey]]),(DiscreteStatsTable[GroupByKey]=DiscreteStatsTable[[#This Row],[GroupByKey]])*DiscreteStatsTable[Average]))</f>
        <v>1.0398978639459899</v>
      </c>
      <c r="T6">
        <f t="array" ref="T6">MIN(IF((DiscreteStatsTable[GroupByKey]=DiscreteStatsTable[[#This Row],[GroupByKey]]),(DiscreteStatsTable[GroupByKey]=DiscreteStatsTable[[#This Row],[GroupByKey]])*DiscreteStatsTable[Minimum]))</f>
        <v>9.0078828412936893E-3</v>
      </c>
      <c r="U6">
        <f t="array" ref="U6">MAX(IF((DiscreteStatsTable[GroupByKey]=DiscreteStatsTable[[#This Row],[GroupByKey]]),(DiscreteStatsTable[GroupByKey]=DiscreteStatsTable[[#This Row],[GroupByKey]])*DiscreteStatsTable[Maximum]))</f>
        <v>2.0186888776274898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95</v>
      </c>
      <c r="W6">
        <f>IF((DiscreteStatsTable[[#This Row],[RepsRequested]]&gt;1),DiscreteStatsTable[[#This Row],[HalfWidth]],DiscreteStatsTable[[#This Row],[BatchMeansHalfWidth]])</f>
        <v>2E+20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74</v>
      </c>
      <c r="E7" t="s">
        <v>79</v>
      </c>
      <c r="F7" t="s">
        <v>76</v>
      </c>
      <c r="G7">
        <v>0</v>
      </c>
      <c r="H7">
        <v>2E+20</v>
      </c>
      <c r="I7">
        <v>0</v>
      </c>
      <c r="J7">
        <v>0</v>
      </c>
      <c r="K7">
        <v>95</v>
      </c>
      <c r="L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95</v>
      </c>
      <c r="W7">
        <f>IF((DiscreteStatsTable[[#This Row],[RepsRequested]]&gt;1),DiscreteStatsTable[[#This Row],[HalfWidth]],DiscreteStatsTable[[#This Row],[BatchMeansHalfWidth]])</f>
        <v>2E+20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1</v>
      </c>
      <c r="D8" t="s">
        <v>74</v>
      </c>
      <c r="E8" t="s">
        <v>80</v>
      </c>
      <c r="F8" t="s">
        <v>76</v>
      </c>
      <c r="G8">
        <v>4.2021784881116797E-2</v>
      </c>
      <c r="H8">
        <v>2E+20</v>
      </c>
      <c r="I8">
        <v>7.0881762462171594E-5</v>
      </c>
      <c r="J8">
        <v>0.16812608447989399</v>
      </c>
      <c r="K8">
        <v>95</v>
      </c>
      <c r="L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4.2021784881116797E-2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4.2021784881116797E-2</v>
      </c>
      <c r="S8">
        <f t="array" ref="S8">MAX(IF((DiscreteStatsTable[GroupByKey]=DiscreteStatsTable[[#This Row],[GroupByKey]]),(DiscreteStatsTable[GroupByKey]=DiscreteStatsTable[[#This Row],[GroupByKey]])*DiscreteStatsTable[Average]))</f>
        <v>4.2021784881116797E-2</v>
      </c>
      <c r="T8">
        <f t="array" ref="T8">MIN(IF((DiscreteStatsTable[GroupByKey]=DiscreteStatsTable[[#This Row],[GroupByKey]]),(DiscreteStatsTable[GroupByKey]=DiscreteStatsTable[[#This Row],[GroupByKey]])*DiscreteStatsTable[Minimum]))</f>
        <v>7.0881762462171594E-5</v>
      </c>
      <c r="U8">
        <f t="array" ref="U8">MAX(IF((DiscreteStatsTable[GroupByKey]=DiscreteStatsTable[[#This Row],[GroupByKey]]),(DiscreteStatsTable[GroupByKey]=DiscreteStatsTable[[#This Row],[GroupByKey]])*DiscreteStatsTable[Maximum]))</f>
        <v>0.16812608447989399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95</v>
      </c>
      <c r="W8">
        <f>IF((DiscreteStatsTable[[#This Row],[RepsRequested]]&gt;1),DiscreteStatsTable[[#This Row],[HalfWidth]],DiscreteStatsTable[[#This Row],[BatchMeansHalfWidth]])</f>
        <v>2E+20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1</v>
      </c>
      <c r="D9" t="s">
        <v>74</v>
      </c>
      <c r="E9" t="s">
        <v>81</v>
      </c>
      <c r="F9" t="s">
        <v>76</v>
      </c>
      <c r="G9">
        <v>0.99787607906487397</v>
      </c>
      <c r="H9">
        <v>2E+20</v>
      </c>
      <c r="I9">
        <v>0</v>
      </c>
      <c r="J9">
        <v>1.94089690243914</v>
      </c>
      <c r="K9">
        <v>95</v>
      </c>
      <c r="L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0.99787607906487397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>
        <f t="array" ref="R9">MIN(IF((DiscreteStatsTable[GroupByKey]=DiscreteStatsTable[[#This Row],[GroupByKey]]),(DiscreteStatsTable[GroupByKey]=DiscreteStatsTable[[#This Row],[GroupByKey]])*DiscreteStatsTable[Average]))</f>
        <v>0.99787607906487397</v>
      </c>
      <c r="S9">
        <f t="array" ref="S9">MAX(IF((DiscreteStatsTable[GroupByKey]=DiscreteStatsTable[[#This Row],[GroupByKey]]),(DiscreteStatsTable[GroupByKey]=DiscreteStatsTable[[#This Row],[GroupByKey]])*DiscreteStatsTable[Average]))</f>
        <v>0.99787607906487397</v>
      </c>
      <c r="T9">
        <f t="array" ref="T9">MIN(IF((DiscreteStatsTable[GroupByKey]=DiscreteStatsTable[[#This Row],[GroupByKey]]),(DiscreteStatsTable[GroupByKey]=DiscreteStatsTable[[#This Row],[GroupByKey]])*DiscreteStatsTable[Minimum]))</f>
        <v>0</v>
      </c>
      <c r="U9">
        <f t="array" ref="U9">MAX(IF((DiscreteStatsTable[GroupByKey]=DiscreteStatsTable[[#This Row],[GroupByKey]]),(DiscreteStatsTable[GroupByKey]=DiscreteStatsTable[[#This Row],[GroupByKey]])*DiscreteStatsTable[Maximum]))</f>
        <v>1.94089690243914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95</v>
      </c>
      <c r="W9">
        <f>IF((DiscreteStatsTable[[#This Row],[RepsRequested]]&gt;1),DiscreteStatsTable[[#This Row],[HalfWidth]],DiscreteStatsTable[[#This Row],[BatchMeansHalfWidth]])</f>
        <v>2E+20</v>
      </c>
      <c r="X9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1</v>
      </c>
      <c r="D10" t="s">
        <v>82</v>
      </c>
      <c r="E10" t="s">
        <v>71</v>
      </c>
      <c r="F10" t="s">
        <v>72</v>
      </c>
      <c r="G10">
        <v>1.00816014380597</v>
      </c>
      <c r="H10">
        <v>2E+20</v>
      </c>
      <c r="I10">
        <v>0</v>
      </c>
      <c r="J10">
        <v>1.98514629421004</v>
      </c>
      <c r="K10">
        <v>96</v>
      </c>
      <c r="L10" t="str">
        <f>DiscreteStatsTable[[#This Row],[ProjectName]]&amp;DiscreteStatsTable[[#This Row],[Name]]&amp;DiscreteStatsTable[[#This Row],[Type]]&amp;DiscreteStatsTable[[#This Row],[Source]]</f>
        <v>Unnamed ProjectFila.QueueWaiting TimeQueue</v>
      </c>
      <c r="M10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>
        <f t="array" ref="N10">IFERROR(AVERAGE(IF((DiscreteStatsTable[GroupByKey]=DiscreteStatsTable[[#This Row],[GroupByKey]]),(DiscreteStatsTable[GroupByKey]=DiscreteStatsTable[[#This Row],[GroupByKey]])*DiscreteStatsTable[Average])),0)</f>
        <v>1.00816014380597</v>
      </c>
      <c r="O10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>
        <f t="array" ref="R10">MIN(IF((DiscreteStatsTable[GroupByKey]=DiscreteStatsTable[[#This Row],[GroupByKey]]),(DiscreteStatsTable[GroupByKey]=DiscreteStatsTable[[#This Row],[GroupByKey]])*DiscreteStatsTable[Average]))</f>
        <v>1.00816014380597</v>
      </c>
      <c r="S10">
        <f t="array" ref="S10">MAX(IF((DiscreteStatsTable[GroupByKey]=DiscreteStatsTable[[#This Row],[GroupByKey]]),(DiscreteStatsTable[GroupByKey]=DiscreteStatsTable[[#This Row],[GroupByKey]])*DiscreteStatsTable[Average]))</f>
        <v>1.00816014380597</v>
      </c>
      <c r="T10">
        <f t="array" ref="T10">MIN(IF((DiscreteStatsTable[GroupByKey]=DiscreteStatsTable[[#This Row],[GroupByKey]]),(DiscreteStatsTable[GroupByKey]=DiscreteStatsTable[[#This Row],[GroupByKey]])*DiscreteStatsTable[Minimum]))</f>
        <v>0</v>
      </c>
      <c r="U10">
        <f t="array" ref="U10">MAX(IF((DiscreteStatsTable[GroupByKey]=DiscreteStatsTable[[#This Row],[GroupByKey]]),(DiscreteStatsTable[GroupByKey]=DiscreteStatsTable[[#This Row],[GroupByKey]])*DiscreteStatsTable[Maximum]))</f>
        <v>1.98514629421004</v>
      </c>
      <c r="V10">
        <f t="array" ref="V10">IFERROR(AVERAGE(IF((DiscreteStatsTable[GroupByKey]=DiscreteStatsTable[[#This Row],[GroupByKey]]),(DiscreteStatsTable[GroupByKey]=DiscreteStatsTable[[#This Row],[GroupByKey]])*DiscreteStatsTable[NumberObservations])),0)</f>
        <v>96</v>
      </c>
      <c r="W10">
        <f>IF((DiscreteStatsTable[[#This Row],[RepsRequested]]&gt;1),DiscreteStatsTable[[#This Row],[HalfWidth]],DiscreteStatsTable[[#This Row],[BatchMeansHalfWidth]])</f>
        <v>2E+20</v>
      </c>
      <c r="X10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</sheetData>
  <phoneticPr fontId="2" type="noConversion"/>
  <conditionalFormatting sqref="H2:H10 Q2:Q10">
    <cfRule type="expression" dxfId="20" priority="23">
      <formula>H2=200000000000000000000</formula>
    </cfRule>
  </conditionalFormatting>
  <conditionalFormatting sqref="H2:H10">
    <cfRule type="expression" dxfId="19" priority="21">
      <formula>H2=300000000000000000000</formula>
    </cfRule>
  </conditionalFormatting>
  <conditionalFormatting sqref="L2:Y10">
    <cfRule type="expression" dxfId="18" priority="19">
      <formula>MOD(ROW(),2)=0</formula>
    </cfRule>
  </conditionalFormatting>
  <conditionalFormatting sqref="Y2:Y10">
    <cfRule type="expression" dxfId="17" priority="14">
      <formula>Y2=0</formula>
    </cfRule>
    <cfRule type="expression" dxfId="16" priority="16">
      <formula>Y2=1</formula>
    </cfRule>
  </conditionalFormatting>
  <conditionalFormatting sqref="Y3:Y10">
    <cfRule type="expression" dxfId="15" priority="15">
      <formula>Y3=1</formula>
    </cfRule>
  </conditionalFormatting>
  <conditionalFormatting sqref="W2:W10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0 W2:W10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4"/>
  <sheetViews>
    <sheetView workbookViewId="0">
      <selection activeCell="A2" sqref="A2:L11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30.109375" bestFit="1" customWidth="1"/>
    <col min="5" max="5" width="21.5546875" bestFit="1" customWidth="1"/>
    <col min="6" max="6" width="9" bestFit="1" customWidth="1"/>
    <col min="7" max="7" width="12" bestFit="1" customWidth="1"/>
    <col min="8" max="8" width="22.21875" bestFit="1" customWidth="1"/>
    <col min="9" max="9" width="11.44140625" bestFit="1" customWidth="1"/>
    <col min="10" max="10" width="11.77734375" bestFit="1" customWidth="1"/>
    <col min="11" max="11" width="19.44140625" bestFit="1" customWidth="1"/>
    <col min="12" max="12" width="11.33203125" bestFit="1" customWidth="1"/>
    <col min="13" max="13" width="63.5546875" bestFit="1" customWidth="1"/>
    <col min="14" max="14" width="16.109375" bestFit="1" customWidth="1"/>
    <col min="15" max="15" width="19.109375" bestFit="1" customWidth="1"/>
    <col min="16" max="16" width="17" bestFit="1" customWidth="1"/>
    <col min="17" max="17" width="19.332031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1" width="19.8867187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83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ProjectCaja de Deposito o Retiro.QueueNumber WaitingQueue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66</v>
      </c>
      <c r="B3" t="s">
        <v>69</v>
      </c>
      <c r="C3">
        <v>1</v>
      </c>
      <c r="D3" t="s">
        <v>73</v>
      </c>
      <c r="E3" t="s">
        <v>83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ProjectCaja de Otras Transacciones.QueueNumber WaitingQueue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66</v>
      </c>
      <c r="B4" t="s">
        <v>69</v>
      </c>
      <c r="C4">
        <v>1</v>
      </c>
      <c r="D4" t="s">
        <v>84</v>
      </c>
      <c r="E4" t="s">
        <v>85</v>
      </c>
      <c r="F4" t="s">
        <v>86</v>
      </c>
      <c r="G4">
        <v>0.45647743015543701</v>
      </c>
      <c r="H4">
        <v>2E+20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ProjectCaja1Instantaneous UtilizationResource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0.45647743015543701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0.45647743015543701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0.45647743015543701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69</v>
      </c>
      <c r="C5">
        <v>1</v>
      </c>
      <c r="D5" t="s">
        <v>84</v>
      </c>
      <c r="E5" t="s">
        <v>87</v>
      </c>
      <c r="F5" t="s">
        <v>86</v>
      </c>
      <c r="G5">
        <v>0.45647743015543701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ProjectCaja1Number BusyResource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0.45647743015543701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0.45647743015543701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0.45647743015543701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69</v>
      </c>
      <c r="C6">
        <v>1</v>
      </c>
      <c r="D6" t="s">
        <v>84</v>
      </c>
      <c r="E6" t="s">
        <v>88</v>
      </c>
      <c r="F6" t="s">
        <v>86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ProjectCaja1Number ScheduledResource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69</v>
      </c>
      <c r="C7">
        <v>1</v>
      </c>
      <c r="D7" t="s">
        <v>89</v>
      </c>
      <c r="E7" t="s">
        <v>85</v>
      </c>
      <c r="F7" t="s">
        <v>86</v>
      </c>
      <c r="G7">
        <v>0.54352256984456304</v>
      </c>
      <c r="H7">
        <v>2E+20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ProjectCaja2Instantaneous UtilizationResource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0.54352256984456304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0.54352256984456304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0.54352256984456304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69</v>
      </c>
      <c r="C8">
        <v>1</v>
      </c>
      <c r="D8" t="s">
        <v>89</v>
      </c>
      <c r="E8" t="s">
        <v>87</v>
      </c>
      <c r="F8" t="s">
        <v>86</v>
      </c>
      <c r="G8">
        <v>0.54352256984456304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ProjectCaja2Number BusyResource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0.54352256984456304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0.54352256984456304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0.54352256984456304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">
      <c r="A9" t="s">
        <v>66</v>
      </c>
      <c r="B9" t="s">
        <v>69</v>
      </c>
      <c r="C9">
        <v>1</v>
      </c>
      <c r="D9" t="s">
        <v>89</v>
      </c>
      <c r="E9" t="s">
        <v>88</v>
      </c>
      <c r="F9" t="s">
        <v>86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ProjectCaja2Number ScheduledResource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">
      <c r="A10" t="s">
        <v>66</v>
      </c>
      <c r="B10" t="s">
        <v>69</v>
      </c>
      <c r="C10">
        <v>1</v>
      </c>
      <c r="D10" t="s">
        <v>74</v>
      </c>
      <c r="E10" t="s">
        <v>90</v>
      </c>
      <c r="F10" t="s">
        <v>76</v>
      </c>
      <c r="G10">
        <v>57.870288155579097</v>
      </c>
      <c r="H10">
        <v>2E+20</v>
      </c>
      <c r="I10">
        <v>0</v>
      </c>
      <c r="J10">
        <v>133</v>
      </c>
      <c r="K10">
        <v>133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57.870288155579097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57.870288155579097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57.870288155579097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">
      <c r="A11" t="s">
        <v>66</v>
      </c>
      <c r="B11" t="s">
        <v>69</v>
      </c>
      <c r="C11">
        <v>1</v>
      </c>
      <c r="D11" t="s">
        <v>82</v>
      </c>
      <c r="E11" t="s">
        <v>83</v>
      </c>
      <c r="F11" t="s">
        <v>72</v>
      </c>
      <c r="G11">
        <v>56.870288155579097</v>
      </c>
      <c r="H11">
        <v>2E+20</v>
      </c>
      <c r="I11">
        <v>0</v>
      </c>
      <c r="J11">
        <v>132</v>
      </c>
      <c r="K11">
        <v>132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ProjectFila.QueueNumber WaitingQueue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56.870288155579097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56.870288155579097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56.870288155579097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">
      <c r="A12" t="s">
        <v>66</v>
      </c>
      <c r="B12" t="s">
        <v>69</v>
      </c>
      <c r="C12">
        <v>1</v>
      </c>
      <c r="D12" t="s">
        <v>91</v>
      </c>
      <c r="E12" t="s">
        <v>83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ProjectHold 1.QueueNumber WaitingQueue</v>
      </c>
      <c r="N12" s="5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">
      <c r="A13" t="s">
        <v>66</v>
      </c>
      <c r="B13" t="s">
        <v>69</v>
      </c>
      <c r="C13">
        <v>1</v>
      </c>
      <c r="D13" t="s">
        <v>92</v>
      </c>
      <c r="E13" t="s">
        <v>83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ProjectProcess 1.QueueNumber WaitingQueue</v>
      </c>
      <c r="N13" s="5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">
      <c r="A14" t="s">
        <v>66</v>
      </c>
      <c r="B14" t="s">
        <v>69</v>
      </c>
      <c r="C14">
        <v>1</v>
      </c>
      <c r="D14" t="s">
        <v>93</v>
      </c>
      <c r="E14" t="s">
        <v>83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ProjectProcess 2.QueueNumber WaitingQueue</v>
      </c>
      <c r="N14" s="5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 s="5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s="5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4">
    <cfRule type="expression" dxfId="11" priority="9">
      <formula>H2=200000000000000000000</formula>
    </cfRule>
  </conditionalFormatting>
  <conditionalFormatting sqref="H2:H14">
    <cfRule type="expression" dxfId="10" priority="7">
      <formula>H2=300000000000000000000</formula>
    </cfRule>
  </conditionalFormatting>
  <conditionalFormatting sqref="M2:U14">
    <cfRule type="expression" dxfId="9" priority="5">
      <formula>MOD(ROW(),2)=0</formula>
    </cfRule>
  </conditionalFormatting>
  <conditionalFormatting sqref="U2:U14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4 U2:U14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" bestFit="1" customWidth="1"/>
    <col min="8" max="8" width="13.6640625" bestFit="1" customWidth="1"/>
    <col min="9" max="9" width="16.109375" bestFit="1" customWidth="1"/>
    <col min="10" max="10" width="10.109375" bestFit="1" customWidth="1"/>
    <col min="11" max="11" width="19" bestFit="1" customWidth="1"/>
    <col min="12" max="12" width="19.332031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2.88671875" bestFit="1" customWidth="1"/>
    <col min="5" max="5" width="18.109375" bestFit="1" customWidth="1"/>
    <col min="6" max="6" width="9" bestFit="1" customWidth="1"/>
    <col min="7" max="7" width="16" bestFit="1" customWidth="1"/>
    <col min="8" max="8" width="11.33203125" bestFit="1" customWidth="1"/>
    <col min="9" max="9" width="62.44140625" bestFit="1" customWidth="1"/>
    <col min="10" max="10" width="16.109375" bestFit="1" customWidth="1"/>
    <col min="11" max="11" width="11" bestFit="1" customWidth="1"/>
    <col min="12" max="12" width="19" bestFit="1" customWidth="1"/>
    <col min="13" max="13" width="19.33203125" bestFit="1" customWidth="1"/>
    <col min="14" max="14" width="11.6640625" bestFit="1" customWidth="1"/>
    <col min="15" max="15" width="11.44140625" bestFit="1" customWidth="1"/>
    <col min="16" max="16" width="11.77734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94</v>
      </c>
      <c r="E2" t="s">
        <v>95</v>
      </c>
      <c r="F2" t="s">
        <v>86</v>
      </c>
      <c r="G2">
        <v>51</v>
      </c>
      <c r="H2">
        <v>0</v>
      </c>
      <c r="I2" t="str">
        <f>OutputTable[[#This Row],[ProjectName]]&amp;OutputTable[[#This Row],[Name]]&amp;OutputTable[[#This Row],[Type]]&amp;OutputTable[[#This Row],[Source]]</f>
        <v>Unnamed ProjectCaja1.NumberSeizedTotal Number SeizedResource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51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51</v>
      </c>
      <c r="P2">
        <f t="array" ref="P2">MAX(IF((OutputTable[GroupByKey]=OutputTable[[#This Row],[GroupByKey]]),(OutputTable[GroupByKey]=OutputTable[[#This Row],[GroupByKey]])*OutputTable[RecordedValue]))</f>
        <v>51</v>
      </c>
    </row>
    <row r="3" spans="1:16" x14ac:dyDescent="0.3">
      <c r="A3" t="s">
        <v>66</v>
      </c>
      <c r="B3" t="s">
        <v>69</v>
      </c>
      <c r="C3">
        <v>1</v>
      </c>
      <c r="D3" t="s">
        <v>96</v>
      </c>
      <c r="E3" t="s">
        <v>97</v>
      </c>
      <c r="F3" t="s">
        <v>86</v>
      </c>
      <c r="G3">
        <v>0.45647743015543701</v>
      </c>
      <c r="H3">
        <v>0</v>
      </c>
      <c r="I3" t="str">
        <f>OutputTable[[#This Row],[ProjectName]]&amp;OutputTable[[#This Row],[Name]]&amp;OutputTable[[#This Row],[Type]]&amp;OutputTable[[#This Row],[Source]]</f>
        <v>Unnamed ProjectCaja1.ScheduledUtilizationScheduled UtilizationResource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0.45647743015543701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0.45647743015543701</v>
      </c>
      <c r="P3">
        <f t="array" ref="P3">MAX(IF((OutputTable[GroupByKey]=OutputTable[[#This Row],[GroupByKey]]),(OutputTable[GroupByKey]=OutputTable[[#This Row],[GroupByKey]])*OutputTable[RecordedValue]))</f>
        <v>0.45647743015543701</v>
      </c>
    </row>
    <row r="4" spans="1:16" x14ac:dyDescent="0.3">
      <c r="A4" t="s">
        <v>66</v>
      </c>
      <c r="B4" t="s">
        <v>69</v>
      </c>
      <c r="C4">
        <v>1</v>
      </c>
      <c r="D4" t="s">
        <v>98</v>
      </c>
      <c r="E4" t="s">
        <v>95</v>
      </c>
      <c r="F4" t="s">
        <v>86</v>
      </c>
      <c r="G4">
        <v>45</v>
      </c>
      <c r="H4">
        <v>0</v>
      </c>
      <c r="I4" t="str">
        <f>OutputTable[[#This Row],[ProjectName]]&amp;OutputTable[[#This Row],[Name]]&amp;OutputTable[[#This Row],[Type]]&amp;OutputTable[[#This Row],[Source]]</f>
        <v>Unnamed ProjectCaja2.NumberSeizedTotal Number SeizedResource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45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45</v>
      </c>
      <c r="P4">
        <f t="array" ref="P4">MAX(IF((OutputTable[GroupByKey]=OutputTable[[#This Row],[GroupByKey]]),(OutputTable[GroupByKey]=OutputTable[[#This Row],[GroupByKey]])*OutputTable[RecordedValue]))</f>
        <v>45</v>
      </c>
    </row>
    <row r="5" spans="1:16" x14ac:dyDescent="0.3">
      <c r="A5" t="s">
        <v>66</v>
      </c>
      <c r="B5" t="s">
        <v>69</v>
      </c>
      <c r="C5">
        <v>1</v>
      </c>
      <c r="D5" t="s">
        <v>99</v>
      </c>
      <c r="E5" t="s">
        <v>97</v>
      </c>
      <c r="F5" t="s">
        <v>86</v>
      </c>
      <c r="G5">
        <v>0.54352256984456304</v>
      </c>
      <c r="H5">
        <v>0</v>
      </c>
      <c r="I5" t="str">
        <f>OutputTable[[#This Row],[ProjectName]]&amp;OutputTable[[#This Row],[Name]]&amp;OutputTable[[#This Row],[Type]]&amp;OutputTable[[#This Row],[Source]]</f>
        <v>Unnamed ProjectCaja2.ScheduledUtilizationScheduled UtilizationResource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0.54352256984456304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0.54352256984456304</v>
      </c>
      <c r="P5">
        <f t="array" ref="P5">MAX(IF((OutputTable[GroupByKey]=OutputTable[[#This Row],[GroupByKey]]),(OutputTable[GroupByKey]=OutputTable[[#This Row],[GroupByKey]])*OutputTable[RecordedValue]))</f>
        <v>0.54352256984456304</v>
      </c>
    </row>
    <row r="6" spans="1:16" x14ac:dyDescent="0.3">
      <c r="A6" t="s">
        <v>66</v>
      </c>
      <c r="B6" t="s">
        <v>69</v>
      </c>
      <c r="C6">
        <v>1</v>
      </c>
      <c r="D6" t="s">
        <v>100</v>
      </c>
      <c r="E6" t="s">
        <v>101</v>
      </c>
      <c r="F6" t="s">
        <v>76</v>
      </c>
      <c r="G6">
        <v>228</v>
      </c>
      <c r="H6">
        <v>0</v>
      </c>
      <c r="I6" t="str">
        <f>OutputTable[[#This Row],[ProjectName]]&amp;OutputTable[[#This Row],[Name]]&amp;OutputTable[[#This Row],[Type]]&amp;OutputTable[[#This Row],[Source]]</f>
        <v>Unnamed ProjectEntity 1.NumberInNumber InEntity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228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228</v>
      </c>
      <c r="P6">
        <f t="array" ref="P6">MAX(IF((OutputTable[GroupByKey]=OutputTable[[#This Row],[GroupByKey]]),(OutputTable[GroupByKey]=OutputTable[[#This Row],[GroupByKey]])*OutputTable[RecordedValue]))</f>
        <v>228</v>
      </c>
    </row>
    <row r="7" spans="1:16" x14ac:dyDescent="0.3">
      <c r="A7" t="s">
        <v>66</v>
      </c>
      <c r="B7" t="s">
        <v>69</v>
      </c>
      <c r="C7">
        <v>1</v>
      </c>
      <c r="D7" t="s">
        <v>102</v>
      </c>
      <c r="E7" t="s">
        <v>103</v>
      </c>
      <c r="F7" t="s">
        <v>76</v>
      </c>
      <c r="G7">
        <v>95</v>
      </c>
      <c r="H7">
        <v>0</v>
      </c>
      <c r="I7" t="str">
        <f>OutputTable[[#This Row],[ProjectName]]&amp;OutputTable[[#This Row],[Name]]&amp;OutputTable[[#This Row],[Type]]&amp;OutputTable[[#This Row],[Source]]</f>
        <v>Unnamed ProjectEntity 1.NumberOutNumber OutEntity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95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>
        <f t="array" ref="O7">MIN(IF((OutputTable[GroupByKey]=OutputTable[[#This Row],[GroupByKey]]),(OutputTable[GroupByKey]=OutputTable[[#This Row],[GroupByKey]])*OutputTable[RecordedValue]))</f>
        <v>95</v>
      </c>
      <c r="P7">
        <f t="array" ref="P7">MAX(IF((OutputTable[GroupByKey]=OutputTable[[#This Row],[GroupByKey]]),(OutputTable[GroupByKey]=OutputTable[[#This Row],[GroupByKey]])*OutputTable[RecordedValue]))</f>
        <v>95</v>
      </c>
    </row>
    <row r="8" spans="1:16" x14ac:dyDescent="0.3">
      <c r="A8" t="s">
        <v>66</v>
      </c>
      <c r="B8" t="s">
        <v>69</v>
      </c>
      <c r="C8">
        <v>1</v>
      </c>
      <c r="D8" t="s">
        <v>104</v>
      </c>
      <c r="E8" t="s">
        <v>103</v>
      </c>
      <c r="F8" t="s">
        <v>105</v>
      </c>
      <c r="G8">
        <v>95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95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>
        <f t="array" ref="O8">MIN(IF((OutputTable[GroupByKey]=OutputTable[[#This Row],[GroupByKey]]),(OutputTable[GroupByKey]=OutputTable[[#This Row],[GroupByKey]])*OutputTable[RecordedValue]))</f>
        <v>95</v>
      </c>
      <c r="P8">
        <f t="array" ref="P8">MAX(IF((OutputTable[GroupByKey]=OutputTable[[#This Row],[GroupByKey]]),(OutputTable[GroupByKey]=OutputTable[[#This Row],[GroupByKey]])*OutputTable[RecordedValue]))</f>
        <v>95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44140625" bestFit="1" customWidth="1"/>
    <col min="8" max="8" width="21.109375" bestFit="1" customWidth="1"/>
    <col min="9" max="9" width="23.6640625" bestFit="1" customWidth="1"/>
    <col min="10" max="10" width="24.88671875" bestFit="1" customWidth="1"/>
    <col min="11" max="11" width="15.21875" bestFit="1" customWidth="1"/>
    <col min="12" max="12" width="13.6640625" bestFit="1" customWidth="1"/>
    <col min="13" max="13" width="28.77734375" bestFit="1" customWidth="1"/>
    <col min="14" max="14" width="29.44140625" bestFit="1" customWidth="1"/>
    <col min="15" max="15" width="16.109375" bestFit="1" customWidth="1"/>
    <col min="16" max="16" width="27.44140625" bestFit="1" customWidth="1"/>
    <col min="17" max="17" width="28.109375" bestFit="1" customWidth="1"/>
    <col min="18" max="18" width="29.21875" bestFit="1" customWidth="1"/>
    <col min="19" max="19" width="28.33203125" bestFit="1" customWidth="1"/>
    <col min="20" max="20" width="26.2187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GOD</cp:lastModifiedBy>
  <cp:lastPrinted>2022-03-22T10:33:10Z</cp:lastPrinted>
  <dcterms:created xsi:type="dcterms:W3CDTF">2020-06-29T21:30:31Z</dcterms:created>
  <dcterms:modified xsi:type="dcterms:W3CDTF">2024-04-13T03:03:49Z</dcterms:modified>
</cp:coreProperties>
</file>